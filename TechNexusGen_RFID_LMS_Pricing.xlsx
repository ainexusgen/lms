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ing Model" sheetId="1" state="visible" r:id="rId3"/>
    <sheet name="Client Quote (INR)" sheetId="2" state="visible" r:id="rId4"/>
    <sheet name="Client Quote (USD)" sheetId="3" state="visible" r:id="rId5"/>
    <sheet name="Optional Item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<sst xmlns="http://schemas.openxmlformats.org/spreadsheetml/2006/main" count="157" uniqueCount="78">
  <si>
    <t xml:space="preserve">TechNexusGen — RFID LMS Costing Model (INTERNAL)</t>
  </si>
  <si>
    <t xml:space="preserve">Assumptions</t>
  </si>
  <si>
    <t xml:space="preserve">USD/INR rate</t>
  </si>
  <si>
    <t xml:space="preserve">Source: Wise mid-market, 30 Aug 2026</t>
  </si>
  <si>
    <t xml:space="preserve">GST rate</t>
  </si>
  <si>
    <t xml:space="preserve">Package discount (INR)</t>
  </si>
  <si>
    <t xml:space="preserve">Legend: blue/yellow cells are editable inputs — costs, sell rates, rate, GST. Everything else recalculates.</t>
  </si>
  <si>
    <t xml:space="preserve">#</t>
  </si>
  <si>
    <t xml:space="preserve">Item</t>
  </si>
  <si>
    <t xml:space="preserve">Specification</t>
  </si>
  <si>
    <t xml:space="preserve">Qty</t>
  </si>
  <si>
    <t xml:space="preserve">Unit</t>
  </si>
  <si>
    <t xml:space="preserve">Unit Cost (₹)</t>
  </si>
  <si>
    <t xml:space="preserve">Unit Sell (₹)</t>
  </si>
  <si>
    <t xml:space="preserve">Total Cost (₹)</t>
  </si>
  <si>
    <t xml:space="preserve">Total Sell (₹)</t>
  </si>
  <si>
    <t xml:space="preserve">Margin (₹)</t>
  </si>
  <si>
    <t xml:space="preserve">Margin %</t>
  </si>
  <si>
    <t xml:space="preserve">UHF Self-Issue Kiosk</t>
  </si>
  <si>
    <t xml:space="preserve">21.5" touchscreen, embedded UHF reader, receipt printer</t>
  </si>
  <si>
    <t xml:space="preserve">UHF Self Book Return Station</t>
  </si>
  <si>
    <t xml:space="preserve">RFID book drop, auto check-in, security re-arm</t>
  </si>
  <si>
    <t xml:space="preserve">UHF Desktop RFID Reader</t>
  </si>
  <si>
    <t xml:space="preserve">USB staff station reader, read/write EPC</t>
  </si>
  <si>
    <t xml:space="preserve">PC</t>
  </si>
  <si>
    <t xml:space="preserve">UHF RFID Book Tags</t>
  </si>
  <si>
    <t xml:space="preserve">Passive UHF label, 96-bit EPC + user memory</t>
  </si>
  <si>
    <t xml:space="preserve">UHF RFID Security Gate</t>
  </si>
  <si>
    <t xml:space="preserve">Single corridor, 2 antenna panels, visitor counter</t>
  </si>
  <si>
    <t xml:space="preserve">UHF RFID Handheld Reader</t>
  </si>
  <si>
    <t xml:space="preserve">Rugged Android PDA, 5 m range, shelf management app</t>
  </si>
  <si>
    <t xml:space="preserve">UHF RFID Member Cards</t>
  </si>
  <si>
    <t xml:space="preserve">PVC pre-printed long-range card</t>
  </si>
  <si>
    <t xml:space="preserve">Library Management Software</t>
  </si>
  <si>
    <t xml:space="preserve">Web LMS, perpetual licence, one campus</t>
  </si>
  <si>
    <t xml:space="preserve">RFID Printer (with software)</t>
  </si>
  <si>
    <t xml:space="preserve">Industrial thermal printer + UHF encoder</t>
  </si>
  <si>
    <t xml:space="preserve">Entrance Door/Gate (Flap Barrier)</t>
  </si>
  <si>
    <t xml:space="preserve">SS304 bi-directional lane, long-range reader</t>
  </si>
  <si>
    <t xml:space="preserve">Installation, Commissioning &amp; Training</t>
  </si>
  <si>
    <t xml:space="preserve">Survey, mounting, migration, training, UAT</t>
  </si>
  <si>
    <t xml:space="preserve">Shipping, Freight &amp; Insurance</t>
  </si>
  <si>
    <t xml:space="preserve">Packing, road freight, transit insurance (approx)</t>
  </si>
  <si>
    <t xml:space="preserve">Sub-total</t>
  </si>
  <si>
    <t xml:space="preserve">Less: package discount</t>
  </si>
  <si>
    <t xml:space="preserve">Net value (ex-GST)</t>
  </si>
  <si>
    <t xml:space="preserve">GST @ C6</t>
  </si>
  <si>
    <t xml:space="preserve">Grand Total (incl. GST)</t>
  </si>
  <si>
    <t xml:space="preserve">Gross margin (₹ / %)</t>
  </si>
  <si>
    <t xml:space="preserve">TechNexusGen — UHF RFID Library Management System · Client Quotation (INR, ex-GST rates)</t>
  </si>
  <si>
    <t xml:space="preserve">Unit Rate (₹)</t>
  </si>
  <si>
    <t xml:space="preserve">Amount (₹)</t>
  </si>
  <si>
    <t xml:space="preserve">GST @ 18%</t>
  </si>
  <si>
    <t xml:space="preserve">Rates pull live from the Costing Model sheet (green cells) — change sell prices there.</t>
  </si>
  <si>
    <t xml:space="preserve">TechNexusGen — UHF RFID Library Management System · Client Quotation (USD, converted at Costing Model rate)</t>
  </si>
  <si>
    <t xml:space="preserve">Unit Rate ($)</t>
  </si>
  <si>
    <t xml:space="preserve">Amount ($)</t>
  </si>
  <si>
    <t xml:space="preserve">GST @ 18% (if billed in India)</t>
  </si>
  <si>
    <t xml:space="preserve">Computed live from INR rates ÷ USD/INR rate on the Costing Model sheet. The issued USD PDF (TNG-RFID-2608-01-USD, $18,526) used clean-rounded unit prices, hence a few dollars' difference.</t>
  </si>
  <si>
    <t xml:space="preserve">Optional &amp; Phase-2 Items (ex-GST)</t>
  </si>
  <si>
    <t xml:space="preserve">Rate (₹)</t>
  </si>
  <si>
    <t xml:space="preserve">Rate ($)</t>
  </si>
  <si>
    <t xml:space="preserve">Additional UHF book tags — slab rate 5,000+ pcs</t>
  </si>
  <si>
    <t xml:space="preserve">per 1,000 pcs</t>
  </si>
  <si>
    <t xml:space="preserve">Additional UHF member cards, pre-printed</t>
  </si>
  <si>
    <t xml:space="preserve">Book tagging service (encode, affix, verify) on site</t>
  </si>
  <si>
    <t xml:space="preserve">per 1,000 books</t>
  </si>
  <si>
    <t xml:space="preserve">Additional RFID security gate corridor</t>
  </si>
  <si>
    <t xml:space="preserve">per corridor</t>
  </si>
  <si>
    <t xml:space="preserve">Additional UHF self-issue kiosk</t>
  </si>
  <si>
    <t xml:space="preserve">per unit</t>
  </si>
  <si>
    <t xml:space="preserve">Student mobile app (Android + iOS)</t>
  </si>
  <si>
    <t xml:space="preserve">one time</t>
  </si>
  <si>
    <t xml:space="preserve">RFID smart shelf / shelf-reader bay</t>
  </si>
  <si>
    <t xml:space="preserve">per bay</t>
  </si>
  <si>
    <t xml:space="preserve">Comprehensive AMC year 2+ (hardware + software)</t>
  </si>
  <si>
    <t xml:space="preserve">per year</t>
  </si>
  <si>
    <t xml:space="preserve">LMS cloud hosting, backup &amp; managed support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</si>
</sst>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%"/>
    <numFmt numFmtId="167" formatCode="\₹#,##0"/>
    <numFmt numFmtId="168" formatCode="\$#,##0.00"/>
    <numFmt numFmtId="169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8A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1E3A8A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E3A8A"/>
        <bgColor rgb="FF003366"/>
      </patternFill>
    </fill>
    <fill>
      <patternFill patternType="solid">
        <fgColor rgb="FF1D4ED8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"/>
    <col collapsed="false" customWidth="true" hidden="false" outlineLevel="0" max="3" min="3" style="1" width="34"/>
    <col collapsed="false" customWidth="true" hidden="false" outlineLevel="0" max="4" min="4" style="1" width="44"/>
    <col collapsed="false" customWidth="true" hidden="false" outlineLevel="0" max="6" min="5" style="1" width="7"/>
    <col collapsed="false" customWidth="true" hidden="false" outlineLevel="0" max="8" min="7" style="1" width="13"/>
    <col collapsed="false" customWidth="true" hidden="false" outlineLevel="0" max="10" min="9" style="1" width="14"/>
    <col collapsed="false" customWidth="true" hidden="false" outlineLevel="0" max="11" min="11" style="1" width="13"/>
    <col collapsed="false" customWidth="true" hidden="false" outlineLevel="0" max="12" min="12" style="1" width="10"/>
  </cols>
  <sheetData>
    <row r="2" customFormat="false" ht="17.2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B4" s="3" t="s">
        <v>1</v>
      </c>
    </row>
    <row r="5" customFormat="false" ht="15" hidden="false" customHeight="true" outlineLevel="0" collapsed="false">
      <c r="B5" s="4" t="s">
        <v>2</v>
      </c>
      <c r="C5" s="5" t="n">
        <v>95.6</v>
      </c>
      <c r="D5" s="6" t="s">
        <v>3</v>
      </c>
    </row>
    <row r="6" customFormat="false" ht="15" hidden="false" customHeight="true" outlineLevel="0" collapsed="false">
      <c r="B6" s="4" t="s">
        <v>4</v>
      </c>
      <c r="C6" s="7" t="n">
        <v>0.18</v>
      </c>
    </row>
    <row r="7" customFormat="false" ht="15" hidden="false" customHeight="true" outlineLevel="0" collapsed="false">
      <c r="B7" s="4" t="s">
        <v>5</v>
      </c>
      <c r="C7" s="8" t="n">
        <v>34000</v>
      </c>
    </row>
    <row r="8" customFormat="false" ht="15" hidden="false" customHeight="true" outlineLevel="0" collapsed="false">
      <c r="B8" s="6" t="s">
        <v>6</v>
      </c>
    </row>
    <row r="10" customFormat="false" ht="26.25" hidden="false" customHeight="true" outlineLevel="0" collapsed="false">
      <c r="B10" s="9" t="s">
        <v>7</v>
      </c>
      <c r="C10" s="9" t="s">
        <v>8</v>
      </c>
      <c r="D10" s="9" t="s">
        <v>9</v>
      </c>
      <c r="E10" s="9" t="s">
        <v>10</v>
      </c>
      <c r="F10" s="9" t="s">
        <v>11</v>
      </c>
      <c r="G10" s="9" t="s">
        <v>12</v>
      </c>
      <c r="H10" s="9" t="s">
        <v>13</v>
      </c>
      <c r="I10" s="9" t="s">
        <v>14</v>
      </c>
      <c r="J10" s="9" t="s">
        <v>15</v>
      </c>
      <c r="K10" s="9" t="s">
        <v>16</v>
      </c>
      <c r="L10" s="9" t="s">
        <v>17</v>
      </c>
    </row>
    <row r="11" customFormat="false" ht="15" hidden="false" customHeight="true" outlineLevel="0" collapsed="false">
      <c r="B11" s="10" t="n">
        <v>1</v>
      </c>
      <c r="C11" s="11" t="s">
        <v>18</v>
      </c>
      <c r="D11" s="10" t="s">
        <v>19</v>
      </c>
      <c r="E11" s="10" t="n">
        <v>1</v>
      </c>
      <c r="F11" s="10" t="s">
        <v>11</v>
      </c>
      <c r="G11" s="12" t="n">
        <v>185000</v>
      </c>
      <c r="H11" s="12" t="n">
        <v>245000</v>
      </c>
      <c r="I11" s="13" t="n">
        <f aca="false">E11*G11</f>
        <v>185000</v>
      </c>
      <c r="J11" s="13" t="n">
        <f aca="false">E11*H11</f>
        <v>245000</v>
      </c>
      <c r="K11" s="13" t="n">
        <f aca="false">J11-I11</f>
        <v>60000</v>
      </c>
      <c r="L11" s="14" t="n">
        <f aca="false">IF(J11=0,0,K11/J11)</f>
        <v>0.244897959183673</v>
      </c>
    </row>
    <row r="12" customFormat="false" ht="15" hidden="false" customHeight="true" outlineLevel="0" collapsed="false">
      <c r="B12" s="10" t="n">
        <v>2</v>
      </c>
      <c r="C12" s="11" t="s">
        <v>20</v>
      </c>
      <c r="D12" s="10" t="s">
        <v>21</v>
      </c>
      <c r="E12" s="10" t="n">
        <v>1</v>
      </c>
      <c r="F12" s="10" t="s">
        <v>11</v>
      </c>
      <c r="G12" s="12" t="n">
        <v>125000</v>
      </c>
      <c r="H12" s="12" t="n">
        <v>165000</v>
      </c>
      <c r="I12" s="13" t="n">
        <f aca="false">E12*G12</f>
        <v>125000</v>
      </c>
      <c r="J12" s="13" t="n">
        <f aca="false">E12*H12</f>
        <v>165000</v>
      </c>
      <c r="K12" s="13" t="n">
        <f aca="false">J12-I12</f>
        <v>40000</v>
      </c>
      <c r="L12" s="14" t="n">
        <f aca="false">IF(J12=0,0,K12/J12)</f>
        <v>0.242424242424242</v>
      </c>
    </row>
    <row r="13" customFormat="false" ht="15" hidden="false" customHeight="true" outlineLevel="0" collapsed="false">
      <c r="B13" s="10" t="n">
        <v>3</v>
      </c>
      <c r="C13" s="11" t="s">
        <v>22</v>
      </c>
      <c r="D13" s="10" t="s">
        <v>23</v>
      </c>
      <c r="E13" s="10" t="n">
        <v>1</v>
      </c>
      <c r="F13" s="10" t="s">
        <v>24</v>
      </c>
      <c r="G13" s="12" t="n">
        <v>16000</v>
      </c>
      <c r="H13" s="12" t="n">
        <v>22000</v>
      </c>
      <c r="I13" s="13" t="n">
        <f aca="false">E13*G13</f>
        <v>16000</v>
      </c>
      <c r="J13" s="13" t="n">
        <f aca="false">E13*H13</f>
        <v>22000</v>
      </c>
      <c r="K13" s="13" t="n">
        <f aca="false">J13-I13</f>
        <v>6000</v>
      </c>
      <c r="L13" s="14" t="n">
        <f aca="false">IF(J13=0,0,K13/J13)</f>
        <v>0.272727272727273</v>
      </c>
    </row>
    <row r="14" customFormat="false" ht="15" hidden="false" customHeight="true" outlineLevel="0" collapsed="false">
      <c r="B14" s="10" t="n">
        <v>4</v>
      </c>
      <c r="C14" s="11" t="s">
        <v>25</v>
      </c>
      <c r="D14" s="10" t="s">
        <v>26</v>
      </c>
      <c r="E14" s="10" t="n">
        <v>1000</v>
      </c>
      <c r="F14" s="10" t="s">
        <v>24</v>
      </c>
      <c r="G14" s="12" t="n">
        <v>14</v>
      </c>
      <c r="H14" s="12" t="n">
        <v>19</v>
      </c>
      <c r="I14" s="13" t="n">
        <f aca="false">E14*G14</f>
        <v>14000</v>
      </c>
      <c r="J14" s="13" t="n">
        <f aca="false">E14*H14</f>
        <v>19000</v>
      </c>
      <c r="K14" s="13" t="n">
        <f aca="false">J14-I14</f>
        <v>5000</v>
      </c>
      <c r="L14" s="14" t="n">
        <f aca="false">IF(J14=0,0,K14/J14)</f>
        <v>0.263157894736842</v>
      </c>
    </row>
    <row r="15" customFormat="false" ht="15" hidden="false" customHeight="true" outlineLevel="0" collapsed="false">
      <c r="B15" s="10" t="n">
        <v>5</v>
      </c>
      <c r="C15" s="11" t="s">
        <v>27</v>
      </c>
      <c r="D15" s="10" t="s">
        <v>28</v>
      </c>
      <c r="E15" s="10" t="n">
        <v>1</v>
      </c>
      <c r="F15" s="10" t="s">
        <v>11</v>
      </c>
      <c r="G15" s="12" t="n">
        <v>145000</v>
      </c>
      <c r="H15" s="12" t="n">
        <v>195000</v>
      </c>
      <c r="I15" s="13" t="n">
        <f aca="false">E15*G15</f>
        <v>145000</v>
      </c>
      <c r="J15" s="13" t="n">
        <f aca="false">E15*H15</f>
        <v>195000</v>
      </c>
      <c r="K15" s="13" t="n">
        <f aca="false">J15-I15</f>
        <v>50000</v>
      </c>
      <c r="L15" s="14" t="n">
        <f aca="false">IF(J15=0,0,K15/J15)</f>
        <v>0.256410256410256</v>
      </c>
    </row>
    <row r="16" customFormat="false" ht="15" hidden="false" customHeight="true" outlineLevel="0" collapsed="false">
      <c r="B16" s="10" t="n">
        <v>6</v>
      </c>
      <c r="C16" s="11" t="s">
        <v>29</v>
      </c>
      <c r="D16" s="10" t="s">
        <v>30</v>
      </c>
      <c r="E16" s="10" t="n">
        <v>1</v>
      </c>
      <c r="F16" s="10" t="s">
        <v>24</v>
      </c>
      <c r="G16" s="12" t="n">
        <v>72000</v>
      </c>
      <c r="H16" s="12" t="n">
        <v>95000</v>
      </c>
      <c r="I16" s="13" t="n">
        <f aca="false">E16*G16</f>
        <v>72000</v>
      </c>
      <c r="J16" s="13" t="n">
        <f aca="false">E16*H16</f>
        <v>95000</v>
      </c>
      <c r="K16" s="13" t="n">
        <f aca="false">J16-I16</f>
        <v>23000</v>
      </c>
      <c r="L16" s="14" t="n">
        <f aca="false">IF(J16=0,0,K16/J16)</f>
        <v>0.242105263157895</v>
      </c>
    </row>
    <row r="17" customFormat="false" ht="15" hidden="false" customHeight="true" outlineLevel="0" collapsed="false">
      <c r="B17" s="10" t="n">
        <v>7</v>
      </c>
      <c r="C17" s="11" t="s">
        <v>31</v>
      </c>
      <c r="D17" s="10" t="s">
        <v>32</v>
      </c>
      <c r="E17" s="10" t="n">
        <v>1000</v>
      </c>
      <c r="F17" s="10" t="s">
        <v>24</v>
      </c>
      <c r="G17" s="12" t="n">
        <v>28</v>
      </c>
      <c r="H17" s="12" t="n">
        <v>38</v>
      </c>
      <c r="I17" s="13" t="n">
        <f aca="false">E17*G17</f>
        <v>28000</v>
      </c>
      <c r="J17" s="13" t="n">
        <f aca="false">E17*H17</f>
        <v>38000</v>
      </c>
      <c r="K17" s="13" t="n">
        <f aca="false">J17-I17</f>
        <v>10000</v>
      </c>
      <c r="L17" s="14" t="n">
        <f aca="false">IF(J17=0,0,K17/J17)</f>
        <v>0.263157894736842</v>
      </c>
    </row>
    <row r="18" customFormat="false" ht="15" hidden="false" customHeight="true" outlineLevel="0" collapsed="false">
      <c r="B18" s="10" t="n">
        <v>8</v>
      </c>
      <c r="C18" s="11" t="s">
        <v>33</v>
      </c>
      <c r="D18" s="10" t="s">
        <v>34</v>
      </c>
      <c r="E18" s="10" t="n">
        <v>1</v>
      </c>
      <c r="F18" s="10" t="s">
        <v>11</v>
      </c>
      <c r="G18" s="12" t="n">
        <v>110000</v>
      </c>
      <c r="H18" s="12" t="n">
        <v>165000</v>
      </c>
      <c r="I18" s="13" t="n">
        <f aca="false">E18*G18</f>
        <v>110000</v>
      </c>
      <c r="J18" s="13" t="n">
        <f aca="false">E18*H18</f>
        <v>165000</v>
      </c>
      <c r="K18" s="13" t="n">
        <f aca="false">J18-I18</f>
        <v>55000</v>
      </c>
      <c r="L18" s="14" t="n">
        <f aca="false">IF(J18=0,0,K18/J18)</f>
        <v>0.333333333333333</v>
      </c>
    </row>
    <row r="19" customFormat="false" ht="15" hidden="false" customHeight="true" outlineLevel="0" collapsed="false">
      <c r="B19" s="10" t="n">
        <v>9</v>
      </c>
      <c r="C19" s="11" t="s">
        <v>35</v>
      </c>
      <c r="D19" s="10" t="s">
        <v>36</v>
      </c>
      <c r="E19" s="10" t="n">
        <v>1</v>
      </c>
      <c r="F19" s="10" t="s">
        <v>24</v>
      </c>
      <c r="G19" s="12" t="n">
        <v>95000</v>
      </c>
      <c r="H19" s="12" t="n">
        <v>125000</v>
      </c>
      <c r="I19" s="13" t="n">
        <f aca="false">E19*G19</f>
        <v>95000</v>
      </c>
      <c r="J19" s="13" t="n">
        <f aca="false">E19*H19</f>
        <v>125000</v>
      </c>
      <c r="K19" s="13" t="n">
        <f aca="false">J19-I19</f>
        <v>30000</v>
      </c>
      <c r="L19" s="14" t="n">
        <f aca="false">IF(J19=0,0,K19/J19)</f>
        <v>0.24</v>
      </c>
    </row>
    <row r="20" customFormat="false" ht="15" hidden="false" customHeight="true" outlineLevel="0" collapsed="false">
      <c r="B20" s="10" t="n">
        <v>10</v>
      </c>
      <c r="C20" s="11" t="s">
        <v>37</v>
      </c>
      <c r="D20" s="10" t="s">
        <v>38</v>
      </c>
      <c r="E20" s="10" t="n">
        <v>2</v>
      </c>
      <c r="F20" s="10" t="s">
        <v>24</v>
      </c>
      <c r="G20" s="12" t="n">
        <v>115000</v>
      </c>
      <c r="H20" s="12" t="n">
        <v>150000</v>
      </c>
      <c r="I20" s="13" t="n">
        <f aca="false">E20*G20</f>
        <v>230000</v>
      </c>
      <c r="J20" s="13" t="n">
        <f aca="false">E20*H20</f>
        <v>300000</v>
      </c>
      <c r="K20" s="13" t="n">
        <f aca="false">J20-I20</f>
        <v>70000</v>
      </c>
      <c r="L20" s="14" t="n">
        <f aca="false">IF(J20=0,0,K20/J20)</f>
        <v>0.233333333333333</v>
      </c>
    </row>
    <row r="21" customFormat="false" ht="15" hidden="false" customHeight="true" outlineLevel="0" collapsed="false">
      <c r="B21" s="10" t="n">
        <v>11</v>
      </c>
      <c r="C21" s="11" t="s">
        <v>39</v>
      </c>
      <c r="D21" s="10" t="s">
        <v>40</v>
      </c>
      <c r="E21" s="10" t="n">
        <v>1</v>
      </c>
      <c r="F21" s="10" t="s">
        <v>11</v>
      </c>
      <c r="G21" s="12" t="n">
        <v>85000</v>
      </c>
      <c r="H21" s="12" t="n">
        <v>110000</v>
      </c>
      <c r="I21" s="13" t="n">
        <f aca="false">E21*G21</f>
        <v>85000</v>
      </c>
      <c r="J21" s="13" t="n">
        <f aca="false">E21*H21</f>
        <v>110000</v>
      </c>
      <c r="K21" s="13" t="n">
        <f aca="false">J21-I21</f>
        <v>25000</v>
      </c>
      <c r="L21" s="14" t="n">
        <f aca="false">IF(J21=0,0,K21/J21)</f>
        <v>0.227272727272727</v>
      </c>
    </row>
    <row r="22" customFormat="false" ht="15" hidden="false" customHeight="true" outlineLevel="0" collapsed="false">
      <c r="B22" s="10" t="n">
        <v>12</v>
      </c>
      <c r="C22" s="11" t="s">
        <v>41</v>
      </c>
      <c r="D22" s="10" t="s">
        <v>42</v>
      </c>
      <c r="E22" s="10" t="n">
        <v>1</v>
      </c>
      <c r="F22" s="10" t="s">
        <v>11</v>
      </c>
      <c r="G22" s="12" t="n">
        <v>45000</v>
      </c>
      <c r="H22" s="12" t="n">
        <v>55000</v>
      </c>
      <c r="I22" s="13" t="n">
        <f aca="false">E22*G22</f>
        <v>45000</v>
      </c>
      <c r="J22" s="13" t="n">
        <f aca="false">E22*H22</f>
        <v>55000</v>
      </c>
      <c r="K22" s="13" t="n">
        <f aca="false">J22-I22</f>
        <v>10000</v>
      </c>
      <c r="L22" s="14" t="n">
        <f aca="false">IF(J22=0,0,K22/J22)</f>
        <v>0.181818181818182</v>
      </c>
    </row>
    <row r="23" customFormat="false" ht="15" hidden="false" customHeight="true" outlineLevel="0" collapsed="false">
      <c r="C23" s="3" t="s">
        <v>43</v>
      </c>
      <c r="I23" s="15" t="n">
        <f aca="false">SUM(I11:I22)</f>
        <v>1150000</v>
      </c>
      <c r="J23" s="15" t="n">
        <f aca="false">SUM(J11:J22)</f>
        <v>1534000</v>
      </c>
    </row>
    <row r="24" customFormat="false" ht="15" hidden="false" customHeight="true" outlineLevel="0" collapsed="false">
      <c r="C24" s="3" t="s">
        <v>44</v>
      </c>
      <c r="J24" s="15" t="n">
        <f aca="false">-C7</f>
        <v>-34000</v>
      </c>
    </row>
    <row r="25" customFormat="false" ht="15" hidden="false" customHeight="true" outlineLevel="0" collapsed="false">
      <c r="C25" s="3" t="s">
        <v>45</v>
      </c>
      <c r="I25" s="15" t="n">
        <f aca="false">I23</f>
        <v>1150000</v>
      </c>
      <c r="J25" s="15" t="n">
        <f aca="false">J23+J24</f>
        <v>1500000</v>
      </c>
    </row>
    <row r="26" customFormat="false" ht="15" hidden="false" customHeight="true" outlineLevel="0" collapsed="false">
      <c r="C26" s="3" t="s">
        <v>46</v>
      </c>
      <c r="J26" s="15" t="n">
        <f aca="false">J25*C6</f>
        <v>270000</v>
      </c>
    </row>
    <row r="27" customFormat="false" ht="15" hidden="false" customHeight="true" outlineLevel="0" collapsed="false">
      <c r="B27" s="16"/>
      <c r="C27" s="16" t="s">
        <v>47</v>
      </c>
      <c r="D27" s="16"/>
      <c r="E27" s="16"/>
      <c r="F27" s="16"/>
      <c r="G27" s="16"/>
      <c r="H27" s="16"/>
      <c r="I27" s="16"/>
      <c r="J27" s="17" t="n">
        <f aca="false">J25+J26</f>
        <v>1770000</v>
      </c>
      <c r="K27" s="16"/>
      <c r="L27" s="16"/>
    </row>
    <row r="29" customFormat="false" ht="15" hidden="false" customHeight="true" outlineLevel="0" collapsed="false">
      <c r="C29" s="3" t="s">
        <v>48</v>
      </c>
      <c r="I29" s="15" t="n">
        <f aca="false">J25-I23</f>
        <v>350000</v>
      </c>
      <c r="J29" s="18" t="n">
        <f aca="false">IF(J25=0,0,(J25-I23)/J25)</f>
        <v>0.233333333333333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"/>
    <col collapsed="false" customWidth="true" hidden="false" outlineLevel="0" max="3" min="3" style="1" width="40"/>
    <col collapsed="false" customWidth="true" hidden="false" outlineLevel="0" max="4" min="4" style="1" width="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5"/>
  </cols>
  <sheetData>
    <row r="2" customFormat="false" ht="15.75" hidden="false" customHeight="true" outlineLevel="0" collapsed="false">
      <c r="B2" s="19" t="s">
        <v>49</v>
      </c>
      <c r="C2" s="19"/>
      <c r="D2" s="19"/>
      <c r="E2" s="19"/>
      <c r="F2" s="19"/>
      <c r="G2" s="19"/>
    </row>
    <row r="4" customFormat="false" ht="15" hidden="false" customHeight="true" outlineLevel="0" collapsed="false">
      <c r="B4" s="20" t="s">
        <v>7</v>
      </c>
      <c r="C4" s="20" t="s">
        <v>8</v>
      </c>
      <c r="D4" s="20" t="s">
        <v>10</v>
      </c>
      <c r="E4" s="20" t="s">
        <v>11</v>
      </c>
      <c r="F4" s="20" t="s">
        <v>50</v>
      </c>
      <c r="G4" s="20" t="s">
        <v>51</v>
      </c>
    </row>
    <row r="5" customFormat="false" ht="15" hidden="false" customHeight="true" outlineLevel="0" collapsed="false">
      <c r="B5" s="10" t="n">
        <v>1</v>
      </c>
      <c r="C5" s="11" t="s">
        <v>18</v>
      </c>
      <c r="D5" s="10" t="n">
        <v>1</v>
      </c>
      <c r="E5" s="10" t="s">
        <v>11</v>
      </c>
      <c r="F5" s="21" t="n">
        <f aca="false">'Costing Model'!H11</f>
        <v>245000</v>
      </c>
      <c r="G5" s="13" t="n">
        <f aca="false">D5*F5</f>
        <v>245000</v>
      </c>
    </row>
    <row r="6" customFormat="false" ht="15" hidden="false" customHeight="true" outlineLevel="0" collapsed="false">
      <c r="B6" s="10" t="n">
        <v>2</v>
      </c>
      <c r="C6" s="11" t="s">
        <v>20</v>
      </c>
      <c r="D6" s="10" t="n">
        <v>1</v>
      </c>
      <c r="E6" s="10" t="s">
        <v>11</v>
      </c>
      <c r="F6" s="21" t="n">
        <f aca="false">'Costing Model'!H12</f>
        <v>165000</v>
      </c>
      <c r="G6" s="13" t="n">
        <f aca="false">D6*F6</f>
        <v>165000</v>
      </c>
    </row>
    <row r="7" customFormat="false" ht="15" hidden="false" customHeight="true" outlineLevel="0" collapsed="false">
      <c r="B7" s="10" t="n">
        <v>3</v>
      </c>
      <c r="C7" s="11" t="s">
        <v>22</v>
      </c>
      <c r="D7" s="10" t="n">
        <v>1</v>
      </c>
      <c r="E7" s="10" t="s">
        <v>24</v>
      </c>
      <c r="F7" s="21" t="n">
        <f aca="false">'Costing Model'!H13</f>
        <v>22000</v>
      </c>
      <c r="G7" s="13" t="n">
        <f aca="false">D7*F7</f>
        <v>22000</v>
      </c>
    </row>
    <row r="8" customFormat="false" ht="15" hidden="false" customHeight="true" outlineLevel="0" collapsed="false">
      <c r="B8" s="10" t="n">
        <v>4</v>
      </c>
      <c r="C8" s="11" t="s">
        <v>25</v>
      </c>
      <c r="D8" s="10" t="n">
        <v>1000</v>
      </c>
      <c r="E8" s="10" t="s">
        <v>24</v>
      </c>
      <c r="F8" s="21" t="n">
        <f aca="false">'Costing Model'!H14</f>
        <v>19</v>
      </c>
      <c r="G8" s="13" t="n">
        <f aca="false">D8*F8</f>
        <v>19000</v>
      </c>
    </row>
    <row r="9" customFormat="false" ht="15" hidden="false" customHeight="true" outlineLevel="0" collapsed="false">
      <c r="B9" s="10" t="n">
        <v>5</v>
      </c>
      <c r="C9" s="11" t="s">
        <v>27</v>
      </c>
      <c r="D9" s="10" t="n">
        <v>1</v>
      </c>
      <c r="E9" s="10" t="s">
        <v>11</v>
      </c>
      <c r="F9" s="21" t="n">
        <f aca="false">'Costing Model'!H15</f>
        <v>195000</v>
      </c>
      <c r="G9" s="13" t="n">
        <f aca="false">D9*F9</f>
        <v>195000</v>
      </c>
    </row>
    <row r="10" customFormat="false" ht="15" hidden="false" customHeight="true" outlineLevel="0" collapsed="false">
      <c r="B10" s="10" t="n">
        <v>6</v>
      </c>
      <c r="C10" s="11" t="s">
        <v>29</v>
      </c>
      <c r="D10" s="10" t="n">
        <v>1</v>
      </c>
      <c r="E10" s="10" t="s">
        <v>24</v>
      </c>
      <c r="F10" s="21" t="n">
        <f aca="false">'Costing Model'!H16</f>
        <v>95000</v>
      </c>
      <c r="G10" s="13" t="n">
        <f aca="false">D10*F10</f>
        <v>95000</v>
      </c>
    </row>
    <row r="11" customFormat="false" ht="15" hidden="false" customHeight="true" outlineLevel="0" collapsed="false">
      <c r="B11" s="10" t="n">
        <v>7</v>
      </c>
      <c r="C11" s="11" t="s">
        <v>31</v>
      </c>
      <c r="D11" s="10" t="n">
        <v>1000</v>
      </c>
      <c r="E11" s="10" t="s">
        <v>24</v>
      </c>
      <c r="F11" s="21" t="n">
        <f aca="false">'Costing Model'!H17</f>
        <v>38</v>
      </c>
      <c r="G11" s="13" t="n">
        <f aca="false">D11*F11</f>
        <v>38000</v>
      </c>
    </row>
    <row r="12" customFormat="false" ht="15" hidden="false" customHeight="true" outlineLevel="0" collapsed="false">
      <c r="B12" s="10" t="n">
        <v>8</v>
      </c>
      <c r="C12" s="11" t="s">
        <v>33</v>
      </c>
      <c r="D12" s="10" t="n">
        <v>1</v>
      </c>
      <c r="E12" s="10" t="s">
        <v>11</v>
      </c>
      <c r="F12" s="21" t="n">
        <f aca="false">'Costing Model'!H18</f>
        <v>165000</v>
      </c>
      <c r="G12" s="13" t="n">
        <f aca="false">D12*F12</f>
        <v>165000</v>
      </c>
    </row>
    <row r="13" customFormat="false" ht="15" hidden="false" customHeight="true" outlineLevel="0" collapsed="false">
      <c r="B13" s="10" t="n">
        <v>9</v>
      </c>
      <c r="C13" s="11" t="s">
        <v>35</v>
      </c>
      <c r="D13" s="10" t="n">
        <v>1</v>
      </c>
      <c r="E13" s="10" t="s">
        <v>24</v>
      </c>
      <c r="F13" s="21" t="n">
        <f aca="false">'Costing Model'!H19</f>
        <v>125000</v>
      </c>
      <c r="G13" s="13" t="n">
        <f aca="false">D13*F13</f>
        <v>125000</v>
      </c>
    </row>
    <row r="14" customFormat="false" ht="15" hidden="false" customHeight="true" outlineLevel="0" collapsed="false">
      <c r="B14" s="10" t="n">
        <v>10</v>
      </c>
      <c r="C14" s="11" t="s">
        <v>37</v>
      </c>
      <c r="D14" s="10" t="n">
        <v>2</v>
      </c>
      <c r="E14" s="10" t="s">
        <v>24</v>
      </c>
      <c r="F14" s="21" t="n">
        <f aca="false">'Costing Model'!H20</f>
        <v>150000</v>
      </c>
      <c r="G14" s="13" t="n">
        <f aca="false">D14*F14</f>
        <v>300000</v>
      </c>
    </row>
    <row r="15" customFormat="false" ht="15" hidden="false" customHeight="true" outlineLevel="0" collapsed="false">
      <c r="B15" s="10" t="n">
        <v>11</v>
      </c>
      <c r="C15" s="11" t="s">
        <v>39</v>
      </c>
      <c r="D15" s="10" t="n">
        <v>1</v>
      </c>
      <c r="E15" s="10" t="s">
        <v>11</v>
      </c>
      <c r="F15" s="21" t="n">
        <f aca="false">'Costing Model'!H21</f>
        <v>110000</v>
      </c>
      <c r="G15" s="13" t="n">
        <f aca="false">D15*F15</f>
        <v>110000</v>
      </c>
    </row>
    <row r="16" customFormat="false" ht="15" hidden="false" customHeight="true" outlineLevel="0" collapsed="false">
      <c r="B16" s="10" t="n">
        <v>12</v>
      </c>
      <c r="C16" s="11" t="s">
        <v>41</v>
      </c>
      <c r="D16" s="10" t="n">
        <v>1</v>
      </c>
      <c r="E16" s="10" t="s">
        <v>11</v>
      </c>
      <c r="F16" s="21" t="n">
        <f aca="false">'Costing Model'!H22</f>
        <v>55000</v>
      </c>
      <c r="G16" s="13" t="n">
        <f aca="false">D16*F16</f>
        <v>55000</v>
      </c>
    </row>
    <row r="17" customFormat="false" ht="15" hidden="false" customHeight="true" outlineLevel="0" collapsed="false">
      <c r="C17" s="3" t="s">
        <v>43</v>
      </c>
      <c r="G17" s="15" t="n">
        <f aca="false">SUM(G5:G16)</f>
        <v>1534000</v>
      </c>
    </row>
    <row r="18" customFormat="false" ht="15" hidden="false" customHeight="true" outlineLevel="0" collapsed="false">
      <c r="C18" s="4" t="s">
        <v>44</v>
      </c>
      <c r="G18" s="22" t="n">
        <f aca="false">-'Costing Model'!C7</f>
        <v>-34000</v>
      </c>
    </row>
    <row r="19" customFormat="false" ht="15" hidden="false" customHeight="true" outlineLevel="0" collapsed="false">
      <c r="C19" s="3" t="s">
        <v>45</v>
      </c>
      <c r="G19" s="15" t="n">
        <f aca="false">G17+G18</f>
        <v>1500000</v>
      </c>
    </row>
    <row r="20" customFormat="false" ht="15" hidden="false" customHeight="true" outlineLevel="0" collapsed="false">
      <c r="C20" s="4" t="s">
        <v>52</v>
      </c>
      <c r="G20" s="23" t="n">
        <f aca="false">G19*'Costing Model'!C6</f>
        <v>270000</v>
      </c>
    </row>
    <row r="21" customFormat="false" ht="15" hidden="false" customHeight="true" outlineLevel="0" collapsed="false">
      <c r="B21" s="24"/>
      <c r="C21" s="16" t="s">
        <v>47</v>
      </c>
      <c r="D21" s="24"/>
      <c r="E21" s="24"/>
      <c r="F21" s="24"/>
      <c r="G21" s="17" t="n">
        <f aca="false">G19+G20</f>
        <v>1770000</v>
      </c>
      <c r="H21" s="24"/>
    </row>
    <row r="23" customFormat="false" ht="15" hidden="false" customHeight="true" outlineLevel="0" collapsed="false">
      <c r="B23" s="6" t="s">
        <v>53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"/>
    <col collapsed="false" customWidth="true" hidden="false" outlineLevel="0" max="3" min="3" style="1" width="40"/>
    <col collapsed="false" customWidth="true" hidden="false" outlineLevel="0" max="4" min="4" style="1" width="8"/>
    <col collapsed="false" customWidth="true" hidden="false" outlineLevel="0" max="5" min="5" style="1" width="7"/>
    <col collapsed="false" customWidth="true" hidden="false" outlineLevel="0" max="6" min="6" style="1" width="14"/>
    <col collapsed="false" customWidth="true" hidden="false" outlineLevel="0" max="7" min="7" style="1" width="15"/>
  </cols>
  <sheetData>
    <row r="2" customFormat="false" ht="15.75" hidden="false" customHeight="true" outlineLevel="0" collapsed="false">
      <c r="B2" s="19" t="s">
        <v>54</v>
      </c>
      <c r="C2" s="19"/>
      <c r="D2" s="19"/>
      <c r="E2" s="19"/>
      <c r="F2" s="19"/>
      <c r="G2" s="19"/>
    </row>
    <row r="4" customFormat="false" ht="15" hidden="false" customHeight="true" outlineLevel="0" collapsed="false">
      <c r="B4" s="20" t="s">
        <v>7</v>
      </c>
      <c r="C4" s="20" t="s">
        <v>8</v>
      </c>
      <c r="D4" s="20" t="s">
        <v>10</v>
      </c>
      <c r="E4" s="20" t="s">
        <v>11</v>
      </c>
      <c r="F4" s="20" t="s">
        <v>55</v>
      </c>
      <c r="G4" s="20" t="s">
        <v>56</v>
      </c>
    </row>
    <row r="5" customFormat="false" ht="15" hidden="false" customHeight="true" outlineLevel="0" collapsed="false">
      <c r="B5" s="10" t="n">
        <v>1</v>
      </c>
      <c r="C5" s="11" t="s">
        <v>18</v>
      </c>
      <c r="D5" s="10" t="n">
        <v>1</v>
      </c>
      <c r="E5" s="10" t="s">
        <v>11</v>
      </c>
      <c r="F5" s="25" t="n">
        <f aca="false">ROUND('Costing Model'!H11/'Costing Model'!$C$5,2)</f>
        <v>2562.76</v>
      </c>
      <c r="G5" s="26" t="n">
        <f aca="false">D5*F5</f>
        <v>2562.76</v>
      </c>
    </row>
    <row r="6" customFormat="false" ht="15" hidden="false" customHeight="true" outlineLevel="0" collapsed="false">
      <c r="B6" s="10" t="n">
        <v>2</v>
      </c>
      <c r="C6" s="11" t="s">
        <v>20</v>
      </c>
      <c r="D6" s="10" t="n">
        <v>1</v>
      </c>
      <c r="E6" s="10" t="s">
        <v>11</v>
      </c>
      <c r="F6" s="25" t="n">
        <f aca="false">ROUND('Costing Model'!H12/'Costing Model'!$C$5,2)</f>
        <v>1725.94</v>
      </c>
      <c r="G6" s="26" t="n">
        <f aca="false">D6*F6</f>
        <v>1725.94</v>
      </c>
    </row>
    <row r="7" customFormat="false" ht="15" hidden="false" customHeight="true" outlineLevel="0" collapsed="false">
      <c r="B7" s="10" t="n">
        <v>3</v>
      </c>
      <c r="C7" s="11" t="s">
        <v>22</v>
      </c>
      <c r="D7" s="10" t="n">
        <v>1</v>
      </c>
      <c r="E7" s="10" t="s">
        <v>24</v>
      </c>
      <c r="F7" s="25" t="n">
        <f aca="false">ROUND('Costing Model'!H13/'Costing Model'!$C$5,2)</f>
        <v>230.13</v>
      </c>
      <c r="G7" s="26" t="n">
        <f aca="false">D7*F7</f>
        <v>230.13</v>
      </c>
    </row>
    <row r="8" customFormat="false" ht="15" hidden="false" customHeight="true" outlineLevel="0" collapsed="false">
      <c r="B8" s="10" t="n">
        <v>4</v>
      </c>
      <c r="C8" s="11" t="s">
        <v>25</v>
      </c>
      <c r="D8" s="10" t="n">
        <v>1000</v>
      </c>
      <c r="E8" s="10" t="s">
        <v>24</v>
      </c>
      <c r="F8" s="25" t="n">
        <f aca="false">ROUND('Costing Model'!H14/'Costing Model'!$C$5,2)</f>
        <v>0.2</v>
      </c>
      <c r="G8" s="26" t="n">
        <f aca="false">D8*F8</f>
        <v>200</v>
      </c>
    </row>
    <row r="9" customFormat="false" ht="15" hidden="false" customHeight="true" outlineLevel="0" collapsed="false">
      <c r="B9" s="10" t="n">
        <v>5</v>
      </c>
      <c r="C9" s="11" t="s">
        <v>27</v>
      </c>
      <c r="D9" s="10" t="n">
        <v>1</v>
      </c>
      <c r="E9" s="10" t="s">
        <v>11</v>
      </c>
      <c r="F9" s="25" t="n">
        <f aca="false">ROUND('Costing Model'!H15/'Costing Model'!$C$5,2)</f>
        <v>2039.75</v>
      </c>
      <c r="G9" s="26" t="n">
        <f aca="false">D9*F9</f>
        <v>2039.75</v>
      </c>
    </row>
    <row r="10" customFormat="false" ht="15" hidden="false" customHeight="true" outlineLevel="0" collapsed="false">
      <c r="B10" s="10" t="n">
        <v>6</v>
      </c>
      <c r="C10" s="11" t="s">
        <v>29</v>
      </c>
      <c r="D10" s="10" t="n">
        <v>1</v>
      </c>
      <c r="E10" s="10" t="s">
        <v>24</v>
      </c>
      <c r="F10" s="25" t="n">
        <f aca="false">ROUND('Costing Model'!H16/'Costing Model'!$C$5,2)</f>
        <v>993.72</v>
      </c>
      <c r="G10" s="26" t="n">
        <f aca="false">D10*F10</f>
        <v>993.72</v>
      </c>
    </row>
    <row r="11" customFormat="false" ht="15" hidden="false" customHeight="true" outlineLevel="0" collapsed="false">
      <c r="B11" s="10" t="n">
        <v>7</v>
      </c>
      <c r="C11" s="11" t="s">
        <v>31</v>
      </c>
      <c r="D11" s="10" t="n">
        <v>1000</v>
      </c>
      <c r="E11" s="10" t="s">
        <v>24</v>
      </c>
      <c r="F11" s="25" t="n">
        <f aca="false">ROUND('Costing Model'!H17/'Costing Model'!$C$5,2)</f>
        <v>0.4</v>
      </c>
      <c r="G11" s="26" t="n">
        <f aca="false">D11*F11</f>
        <v>400</v>
      </c>
    </row>
    <row r="12" customFormat="false" ht="15" hidden="false" customHeight="true" outlineLevel="0" collapsed="false">
      <c r="B12" s="10" t="n">
        <v>8</v>
      </c>
      <c r="C12" s="11" t="s">
        <v>33</v>
      </c>
      <c r="D12" s="10" t="n">
        <v>1</v>
      </c>
      <c r="E12" s="10" t="s">
        <v>11</v>
      </c>
      <c r="F12" s="25" t="n">
        <f aca="false">ROUND('Costing Model'!H18/'Costing Model'!$C$5,2)</f>
        <v>1725.94</v>
      </c>
      <c r="G12" s="26" t="n">
        <f aca="false">D12*F12</f>
        <v>1725.94</v>
      </c>
    </row>
    <row r="13" customFormat="false" ht="15" hidden="false" customHeight="true" outlineLevel="0" collapsed="false">
      <c r="B13" s="10" t="n">
        <v>9</v>
      </c>
      <c r="C13" s="11" t="s">
        <v>35</v>
      </c>
      <c r="D13" s="10" t="n">
        <v>1</v>
      </c>
      <c r="E13" s="10" t="s">
        <v>24</v>
      </c>
      <c r="F13" s="25" t="n">
        <f aca="false">ROUND('Costing Model'!H19/'Costing Model'!$C$5,2)</f>
        <v>1307.53</v>
      </c>
      <c r="G13" s="26" t="n">
        <f aca="false">D13*F13</f>
        <v>1307.53</v>
      </c>
    </row>
    <row r="14" customFormat="false" ht="15" hidden="false" customHeight="true" outlineLevel="0" collapsed="false">
      <c r="B14" s="10" t="n">
        <v>10</v>
      </c>
      <c r="C14" s="11" t="s">
        <v>37</v>
      </c>
      <c r="D14" s="10" t="n">
        <v>2</v>
      </c>
      <c r="E14" s="10" t="s">
        <v>24</v>
      </c>
      <c r="F14" s="25" t="n">
        <f aca="false">ROUND('Costing Model'!H20/'Costing Model'!$C$5,2)</f>
        <v>1569.04</v>
      </c>
      <c r="G14" s="26" t="n">
        <f aca="false">D14*F14</f>
        <v>3138.08</v>
      </c>
    </row>
    <row r="15" customFormat="false" ht="15" hidden="false" customHeight="true" outlineLevel="0" collapsed="false">
      <c r="B15" s="10" t="n">
        <v>11</v>
      </c>
      <c r="C15" s="11" t="s">
        <v>39</v>
      </c>
      <c r="D15" s="10" t="n">
        <v>1</v>
      </c>
      <c r="E15" s="10" t="s">
        <v>11</v>
      </c>
      <c r="F15" s="25" t="n">
        <f aca="false">ROUND('Costing Model'!H21/'Costing Model'!$C$5,2)</f>
        <v>1150.63</v>
      </c>
      <c r="G15" s="26" t="n">
        <f aca="false">D15*F15</f>
        <v>1150.63</v>
      </c>
    </row>
    <row r="16" customFormat="false" ht="15" hidden="false" customHeight="true" outlineLevel="0" collapsed="false">
      <c r="B16" s="10" t="n">
        <v>12</v>
      </c>
      <c r="C16" s="11" t="s">
        <v>41</v>
      </c>
      <c r="D16" s="10" t="n">
        <v>1</v>
      </c>
      <c r="E16" s="10" t="s">
        <v>11</v>
      </c>
      <c r="F16" s="25" t="n">
        <f aca="false">ROUND('Costing Model'!H22/'Costing Model'!$C$5,2)</f>
        <v>575.31</v>
      </c>
      <c r="G16" s="26" t="n">
        <f aca="false">D16*F16</f>
        <v>575.31</v>
      </c>
    </row>
    <row r="17" customFormat="false" ht="15" hidden="false" customHeight="true" outlineLevel="0" collapsed="false">
      <c r="C17" s="3" t="s">
        <v>43</v>
      </c>
      <c r="G17" s="27" t="n">
        <f aca="false">SUM(G5:G16)</f>
        <v>16049.79</v>
      </c>
    </row>
    <row r="18" customFormat="false" ht="15" hidden="false" customHeight="true" outlineLevel="0" collapsed="false">
      <c r="C18" s="4" t="s">
        <v>44</v>
      </c>
      <c r="G18" s="28" t="n">
        <f aca="false">-ROUND('Costing Model'!C7/'Costing Model'!C5,0)</f>
        <v>-356</v>
      </c>
    </row>
    <row r="19" customFormat="false" ht="15" hidden="false" customHeight="true" outlineLevel="0" collapsed="false">
      <c r="C19" s="3" t="s">
        <v>45</v>
      </c>
      <c r="G19" s="27" t="n">
        <f aca="false">G17+G18</f>
        <v>15693.79</v>
      </c>
    </row>
    <row r="20" customFormat="false" ht="15" hidden="false" customHeight="true" outlineLevel="0" collapsed="false">
      <c r="C20" s="4" t="s">
        <v>57</v>
      </c>
      <c r="G20" s="29" t="n">
        <f aca="false">G19*'Costing Model'!C6</f>
        <v>2824.8822</v>
      </c>
    </row>
    <row r="21" customFormat="false" ht="15" hidden="false" customHeight="true" outlineLevel="0" collapsed="false">
      <c r="B21" s="24"/>
      <c r="C21" s="16" t="s">
        <v>47</v>
      </c>
      <c r="D21" s="24"/>
      <c r="E21" s="24"/>
      <c r="F21" s="24"/>
      <c r="G21" s="30" t="n">
        <f aca="false">G19+G20</f>
        <v>18518.6722</v>
      </c>
      <c r="H21" s="24"/>
    </row>
    <row r="23" customFormat="false" ht="15" hidden="false" customHeight="false" outlineLevel="0" collapsed="false">
      <c r="B23" s="31" t="s">
        <v>58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8"/>
    <col collapsed="false" customWidth="true" hidden="false" outlineLevel="0" max="3" min="3" style="1" width="16"/>
    <col collapsed="false" customWidth="true" hidden="false" outlineLevel="0" max="4" min="4" style="1" width="13"/>
    <col collapsed="false" customWidth="true" hidden="false" outlineLevel="0" max="5" min="5" style="1" width="12"/>
  </cols>
  <sheetData>
    <row r="2" customFormat="false" ht="15.75" hidden="false" customHeight="true" outlineLevel="0" collapsed="false">
      <c r="B2" s="19" t="s">
        <v>59</v>
      </c>
      <c r="C2" s="19"/>
      <c r="D2" s="19"/>
      <c r="E2" s="19"/>
    </row>
    <row r="4" customFormat="false" ht="15" hidden="false" customHeight="true" outlineLevel="0" collapsed="false">
      <c r="B4" s="20" t="s">
        <v>8</v>
      </c>
      <c r="C4" s="20" t="s">
        <v>11</v>
      </c>
      <c r="D4" s="20" t="s">
        <v>60</v>
      </c>
      <c r="E4" s="20" t="s">
        <v>61</v>
      </c>
    </row>
    <row r="5" customFormat="false" ht="15" hidden="false" customHeight="true" outlineLevel="0" collapsed="false">
      <c r="B5" s="10" t="s">
        <v>62</v>
      </c>
      <c r="C5" s="10" t="s">
        <v>63</v>
      </c>
      <c r="D5" s="12" t="n">
        <v>17000</v>
      </c>
      <c r="E5" s="26" t="n">
        <f aca="false">ROUND(D5/'Costing Model'!$C$5,0)</f>
        <v>178</v>
      </c>
    </row>
    <row r="6" customFormat="false" ht="15" hidden="false" customHeight="true" outlineLevel="0" collapsed="false">
      <c r="B6" s="10" t="s">
        <v>64</v>
      </c>
      <c r="C6" s="10" t="s">
        <v>63</v>
      </c>
      <c r="D6" s="12" t="n">
        <v>36000</v>
      </c>
      <c r="E6" s="26" t="n">
        <f aca="false">ROUND(D6/'Costing Model'!$C$5,0)</f>
        <v>377</v>
      </c>
    </row>
    <row r="7" customFormat="false" ht="15" hidden="false" customHeight="true" outlineLevel="0" collapsed="false">
      <c r="B7" s="10" t="s">
        <v>65</v>
      </c>
      <c r="C7" s="10" t="s">
        <v>66</v>
      </c>
      <c r="D7" s="12" t="n">
        <v>12000</v>
      </c>
      <c r="E7" s="26" t="n">
        <f aca="false">ROUND(D7/'Costing Model'!$C$5,0)</f>
        <v>126</v>
      </c>
    </row>
    <row r="8" customFormat="false" ht="15" hidden="false" customHeight="true" outlineLevel="0" collapsed="false">
      <c r="B8" s="10" t="s">
        <v>67</v>
      </c>
      <c r="C8" s="10" t="s">
        <v>68</v>
      </c>
      <c r="D8" s="12" t="n">
        <v>185000</v>
      </c>
      <c r="E8" s="26" t="n">
        <f aca="false">ROUND(D8/'Costing Model'!$C$5,0)</f>
        <v>1935</v>
      </c>
    </row>
    <row r="9" customFormat="false" ht="15" hidden="false" customHeight="true" outlineLevel="0" collapsed="false">
      <c r="B9" s="10" t="s">
        <v>69</v>
      </c>
      <c r="C9" s="10" t="s">
        <v>70</v>
      </c>
      <c r="D9" s="12" t="n">
        <v>240000</v>
      </c>
      <c r="E9" s="26" t="n">
        <f aca="false">ROUND(D9/'Costing Model'!$C$5,0)</f>
        <v>2510</v>
      </c>
    </row>
    <row r="10" customFormat="false" ht="15" hidden="false" customHeight="true" outlineLevel="0" collapsed="false">
      <c r="B10" s="10" t="s">
        <v>71</v>
      </c>
      <c r="C10" s="10" t="s">
        <v>72</v>
      </c>
      <c r="D10" s="12" t="n">
        <v>145000</v>
      </c>
      <c r="E10" s="26" t="n">
        <f aca="false">ROUND(D10/'Costing Model'!$C$5,0)</f>
        <v>1517</v>
      </c>
    </row>
    <row r="11" customFormat="false" ht="15" hidden="false" customHeight="true" outlineLevel="0" collapsed="false">
      <c r="B11" s="10" t="s">
        <v>73</v>
      </c>
      <c r="C11" s="10" t="s">
        <v>74</v>
      </c>
      <c r="D11" s="12" t="n">
        <v>85000</v>
      </c>
      <c r="E11" s="26" t="n">
        <f aca="false">ROUND(D11/'Costing Model'!$C$5,0)</f>
        <v>889</v>
      </c>
    </row>
    <row r="12" customFormat="false" ht="15" hidden="false" customHeight="true" outlineLevel="0" collapsed="false">
      <c r="B12" s="10" t="s">
        <v>75</v>
      </c>
      <c r="C12" s="10" t="s">
        <v>76</v>
      </c>
      <c r="D12" s="12" t="n">
        <v>95000</v>
      </c>
      <c r="E12" s="26" t="n">
        <f aca="false">ROUND(D12/'Costing Model'!$C$5,0)</f>
        <v>994</v>
      </c>
    </row>
    <row r="13" customFormat="false" ht="15" hidden="false" customHeight="true" outlineLevel="0" collapsed="false">
      <c r="B13" s="10" t="s">
        <v>77</v>
      </c>
      <c r="C13" s="10" t="s">
        <v>76</v>
      </c>
      <c r="D13" s="12" t="n">
        <v>45000</v>
      </c>
      <c r="E13" s="26" t="n">
        <f aca="false">ROUND(D13/'Costing Model'!$C$5,0)</f>
        <v>471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2026-08-30T08:12:54Z</dcterms:created>
  <dc:creator>openpyxl</dc:creator>
  <dc:description/>
  <dc:language>en-US</dc:language>
  <cp:lastModifiedBy/>
  <dcterms:modified xsi:type="dcterms:W3CDTF">2026-08-30T08:13:14Z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